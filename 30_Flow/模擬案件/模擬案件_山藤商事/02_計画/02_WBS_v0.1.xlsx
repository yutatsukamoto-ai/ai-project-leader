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<sst xmlns="http://schemas.openxmlformats.org/spreadsheetml/2006/main" count="61" uniqueCount="60">
  <si>
    <r>
      <rPr>
        <b val="true"/>
        <sz val="14"/>
        <rFont val="Noto Sans CJK SC"/>
        <family val="2"/>
      </rPr>
      <t xml:space="preserve">山藤商事 生成</t>
    </r>
    <r>
      <rPr>
        <b val="true"/>
        <sz val="14"/>
        <rFont val="Yu Gothic"/>
        <family val="0"/>
        <charset val="1"/>
      </rPr>
      <t xml:space="preserve">AI/DX</t>
    </r>
    <r>
      <rPr>
        <b val="true"/>
        <sz val="14"/>
        <rFont val="Noto Sans CJK SC"/>
        <family val="2"/>
      </rPr>
      <t xml:space="preserve">推進 ― </t>
    </r>
    <r>
      <rPr>
        <b val="true"/>
        <sz val="14"/>
        <rFont val="Yu Gothic"/>
        <family val="0"/>
        <charset val="1"/>
      </rPr>
      <t xml:space="preserve">WBS v0.1</t>
    </r>
  </si>
  <si>
    <r>
      <rPr>
        <sz val="9"/>
        <color rgb="FF6B7280"/>
        <rFont val="Yu Gothic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プロジェクト ／ 総工数</t>
    </r>
    <r>
      <rPr>
        <sz val="9"/>
        <color rgb="FF6B7280"/>
        <rFont val="Yu Gothic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自動計算</t>
    </r>
    <r>
      <rPr>
        <sz val="9"/>
        <color rgb="FF6B7280"/>
        <rFont val="Yu Gothic"/>
        <family val="0"/>
        <charset val="1"/>
      </rPr>
      <t xml:space="preserve">) </t>
    </r>
    <r>
      <rPr>
        <sz val="9"/>
        <color rgb="FF6B7280"/>
        <rFont val="Noto Sans CJK SC"/>
        <family val="2"/>
      </rPr>
      <t xml:space="preserve">／ 段階</t>
    </r>
    <r>
      <rPr>
        <sz val="9"/>
        <color rgb="FF6B7280"/>
        <rFont val="Yu Gothic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のみ仮日付・段階</t>
    </r>
    <r>
      <rPr>
        <sz val="9"/>
        <color rgb="FF6B7280"/>
        <rFont val="Yu Gothic"/>
        <family val="0"/>
        <charset val="1"/>
      </rPr>
      <t xml:space="preserve">2-3</t>
    </r>
    <r>
      <rPr>
        <sz val="9"/>
        <color rgb="FF6B7280"/>
        <rFont val="Noto Sans CJK SC"/>
        <family val="2"/>
      </rPr>
      <t xml:space="preserve">は日付未定（ローリングウェーブ）</t>
    </r>
  </si>
  <si>
    <t xml:space="preserve">No.</t>
  </si>
  <si>
    <t xml:space="preserve">作業項目</t>
  </si>
  <si>
    <t xml:space="preserve">担当</t>
  </si>
  <si>
    <t xml:space="preserve">数量</t>
  </si>
  <si>
    <t xml:space="preserve">時間</t>
  </si>
  <si>
    <r>
      <rPr>
        <b val="true"/>
        <sz val="10"/>
        <rFont val="Noto Sans CJK SC"/>
        <family val="2"/>
      </rPr>
      <t xml:space="preserve">工数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人日</t>
    </r>
    <r>
      <rPr>
        <b val="true"/>
        <sz val="10"/>
        <rFont val="Yu Gothic"/>
        <family val="0"/>
        <charset val="1"/>
      </rPr>
      <t xml:space="preserve">)</t>
    </r>
  </si>
  <si>
    <t xml:space="preserve">予定開始</t>
  </si>
  <si>
    <t xml:space="preserve">予定終了</t>
  </si>
  <si>
    <t xml:space="preserve">実績開始</t>
  </si>
  <si>
    <t xml:space="preserve">実績終了</t>
  </si>
  <si>
    <t xml:space="preserve">備考</t>
  </si>
  <si>
    <t xml:space="preserve">6/15</t>
  </si>
  <si>
    <t xml:space="preserve">6/22</t>
  </si>
  <si>
    <t xml:space="preserve">6/29</t>
  </si>
  <si>
    <t xml:space="preserve">7/6</t>
  </si>
  <si>
    <t xml:space="preserve">7/13</t>
  </si>
  <si>
    <t xml:space="preserve">7/20</t>
  </si>
  <si>
    <t xml:space="preserve">7/27</t>
  </si>
  <si>
    <t xml:space="preserve">8/3</t>
  </si>
  <si>
    <t xml:space="preserve">8/10</t>
  </si>
  <si>
    <t xml:space="preserve">8/17</t>
  </si>
  <si>
    <t xml:space="preserve">1</t>
  </si>
  <si>
    <r>
      <rPr>
        <b val="true"/>
        <sz val="10"/>
        <rFont val="Noto Sans CJK SC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見える化</t>
    </r>
  </si>
  <si>
    <r>
      <rPr>
        <sz val="9"/>
        <color rgb="FF6B7280"/>
        <rFont val="Noto Sans CJK SC"/>
        <family val="2"/>
      </rPr>
      <t xml:space="preserve">受入</t>
    </r>
    <r>
      <rPr>
        <sz val="9"/>
        <color rgb="FF6B7280"/>
        <rFont val="Yu Gothic"/>
        <family val="0"/>
        <charset val="1"/>
      </rPr>
      <t xml:space="preserve">:As-Is</t>
    </r>
    <r>
      <rPr>
        <sz val="9"/>
        <color rgb="FF6B7280"/>
        <rFont val="Noto Sans CJK SC"/>
        <family val="2"/>
      </rPr>
      <t xml:space="preserve">・失敗要因・対象</t>
    </r>
    <r>
      <rPr>
        <sz val="9"/>
        <color rgb="FF6B7280"/>
        <rFont val="Yu Gothic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つ特定</t>
    </r>
  </si>
  <si>
    <t xml:space="preserve">1.1</t>
  </si>
  <si>
    <t xml:space="preserve">    現場ヒアリング</t>
  </si>
  <si>
    <r>
      <rPr>
        <sz val="10"/>
        <rFont val="Noto Sans CJK SC"/>
        <family val="2"/>
      </rPr>
      <t xml:space="preserve">当方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営業責任者</t>
    </r>
  </si>
  <si>
    <r>
      <rPr>
        <sz val="9"/>
        <color rgb="FF6B7280"/>
        <rFont val="Yu Gothic"/>
        <family val="0"/>
        <charset val="1"/>
      </rPr>
      <t xml:space="preserve">→As-Is</t>
    </r>
    <r>
      <rPr>
        <sz val="9"/>
        <color rgb="FF6B7280"/>
        <rFont val="Noto Sans CJK SC"/>
        <family val="2"/>
      </rPr>
      <t xml:space="preserve">メモ</t>
    </r>
  </si>
  <si>
    <t xml:space="preserve">1.2</t>
  </si>
  <si>
    <r>
      <rPr>
        <sz val="10"/>
        <rFont val="Noto Sans CJK SC"/>
        <family val="2"/>
      </rPr>
      <t xml:space="preserve">    業務フロー可視化</t>
    </r>
    <r>
      <rPr>
        <sz val="10"/>
        <rFont val="Yu Gothic"/>
        <family val="0"/>
        <charset val="1"/>
      </rPr>
      <t xml:space="preserve">(As-Is)</t>
    </r>
  </si>
  <si>
    <t xml:space="preserve">当方</t>
  </si>
  <si>
    <t xml:space="preserve">1.3</t>
  </si>
  <si>
    <t xml:space="preserve">    失敗要因調査</t>
  </si>
  <si>
    <r>
      <rPr>
        <sz val="10"/>
        <rFont val="Noto Sans CJK SC"/>
        <family val="2"/>
      </rPr>
      <t xml:space="preserve">当方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佐藤</t>
    </r>
  </si>
  <si>
    <r>
      <rPr>
        <sz val="9"/>
        <color rgb="FF6B7280"/>
        <rFont val="Noto Sans CJK SC"/>
        <family val="2"/>
      </rPr>
      <t xml:space="preserve">→要因レポート </t>
    </r>
    <r>
      <rPr>
        <sz val="9"/>
        <color rgb="FF6B7280"/>
        <rFont val="Yu Gothic"/>
        <family val="0"/>
        <charset val="1"/>
      </rPr>
      <t xml:space="preserve">/ R-01</t>
    </r>
    <r>
      <rPr>
        <sz val="9"/>
        <color rgb="FF6B7280"/>
        <rFont val="Noto Sans CJK SC"/>
        <family val="2"/>
      </rPr>
      <t xml:space="preserve">対応</t>
    </r>
  </si>
  <si>
    <t xml:space="preserve">1.4</t>
  </si>
  <si>
    <t xml:space="preserve">    対象業務の選定</t>
  </si>
  <si>
    <t xml:space="preserve">現場</t>
  </si>
  <si>
    <r>
      <rPr>
        <sz val="9"/>
        <color rgb="FF6B7280"/>
        <rFont val="Yu Gothic"/>
        <family val="0"/>
        <charset val="1"/>
      </rPr>
      <t xml:space="preserve">→PoC</t>
    </r>
    <r>
      <rPr>
        <sz val="9"/>
        <color rgb="FF6B7280"/>
        <rFont val="Noto Sans CJK SC"/>
        <family val="2"/>
      </rPr>
      <t xml:space="preserve">対象決定 </t>
    </r>
    <r>
      <rPr>
        <sz val="9"/>
        <color rgb="FF6B7280"/>
        <rFont val="Yu Gothic"/>
        <family val="0"/>
        <charset val="1"/>
      </rPr>
      <t xml:space="preserve">/ ★</t>
    </r>
    <r>
      <rPr>
        <sz val="9"/>
        <color rgb="FF6B7280"/>
        <rFont val="Noto Sans CJK SC"/>
        <family val="2"/>
      </rPr>
      <t xml:space="preserve">律速</t>
    </r>
  </si>
  <si>
    <t xml:space="preserve">2</t>
  </si>
  <si>
    <r>
      <rPr>
        <b val="true"/>
        <sz val="10"/>
        <rFont val="Noto Sans CJK SC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小さく試す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骨格</t>
    </r>
    <r>
      <rPr>
        <b val="true"/>
        <sz val="10"/>
        <rFont val="Yu Gothic"/>
        <family val="0"/>
        <charset val="1"/>
      </rPr>
      <t xml:space="preserve">)</t>
    </r>
  </si>
  <si>
    <t xml:space="preserve">🟡ゲート後に詳細化</t>
  </si>
  <si>
    <t xml:space="preserve">2.1</t>
  </si>
  <si>
    <r>
      <rPr>
        <sz val="10"/>
        <rFont val="Noto Sans CJK SC"/>
        <family val="2"/>
      </rPr>
      <t xml:space="preserve">    見積・報告書</t>
    </r>
    <r>
      <rPr>
        <sz val="10"/>
        <rFont val="Yu Gothic"/>
        <family val="0"/>
        <charset val="1"/>
      </rPr>
      <t xml:space="preserve">PoC</t>
    </r>
  </si>
  <si>
    <r>
      <rPr>
        <sz val="9"/>
        <color rgb="FF6B7280"/>
        <rFont val="Noto Sans CJK SC"/>
        <family val="2"/>
      </rPr>
      <t xml:space="preserve">🟡関所</t>
    </r>
    <r>
      <rPr>
        <sz val="9"/>
        <color rgb="FF6B7280"/>
        <rFont val="Yu Gothic"/>
        <family val="0"/>
        <charset val="1"/>
      </rPr>
      <t xml:space="preserve">:</t>
    </r>
    <r>
      <rPr>
        <sz val="9"/>
        <color rgb="FF6B7280"/>
        <rFont val="Noto Sans CJK SC"/>
        <family val="2"/>
      </rPr>
      <t xml:space="preserve">入力情報の線引き</t>
    </r>
    <r>
      <rPr>
        <sz val="9"/>
        <color rgb="FF6B7280"/>
        <rFont val="Yu Gothic"/>
        <family val="0"/>
        <charset val="1"/>
      </rPr>
      <t xml:space="preserve">(R-02</t>
    </r>
    <r>
      <rPr>
        <sz val="9"/>
        <color rgb="FF6B7280"/>
        <rFont val="Noto Sans CJK SC"/>
        <family val="2"/>
      </rPr>
      <t xml:space="preserve">漏洩</t>
    </r>
    <r>
      <rPr>
        <sz val="9"/>
        <color rgb="FF6B7280"/>
        <rFont val="Yu Gothic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を試行前に確定</t>
    </r>
  </si>
  <si>
    <t xml:space="preserve">2.2</t>
  </si>
  <si>
    <r>
      <rPr>
        <sz val="10"/>
        <rFont val="Noto Sans CJK SC"/>
        <family val="2"/>
      </rPr>
      <t xml:space="preserve">    経営数値の要件整理</t>
    </r>
    <r>
      <rPr>
        <sz val="10"/>
        <rFont val="Yu Gothic"/>
        <family val="0"/>
        <charset val="1"/>
      </rPr>
      <t xml:space="preserve">(</t>
    </r>
    <r>
      <rPr>
        <sz val="10"/>
        <rFont val="Noto Sans CJK SC"/>
        <family val="2"/>
      </rPr>
      <t xml:space="preserve">並行</t>
    </r>
    <r>
      <rPr>
        <sz val="10"/>
        <rFont val="Yu Gothic"/>
        <family val="0"/>
        <charset val="1"/>
      </rPr>
      <t xml:space="preserve">)</t>
    </r>
  </si>
  <si>
    <t xml:space="preserve">🟡要件メモ・データ所在</t>
  </si>
  <si>
    <t xml:space="preserve">3</t>
  </si>
  <si>
    <r>
      <rPr>
        <b val="true"/>
        <sz val="10"/>
        <rFont val="Noto Sans CJK SC"/>
        <family val="2"/>
      </rPr>
      <t xml:space="preserve">段階</t>
    </r>
    <r>
      <rPr>
        <b val="true"/>
        <sz val="10"/>
        <rFont val="Yu Gothic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評価と次計画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骨格</t>
    </r>
    <r>
      <rPr>
        <b val="true"/>
        <sz val="10"/>
        <rFont val="Yu Gothic"/>
        <family val="0"/>
        <charset val="1"/>
      </rPr>
      <t xml:space="preserve">)</t>
    </r>
  </si>
  <si>
    <t xml:space="preserve">🟡</t>
  </si>
  <si>
    <t xml:space="preserve">3.1</t>
  </si>
  <si>
    <t xml:space="preserve">    効果測定</t>
  </si>
  <si>
    <t xml:space="preserve">🟡前後比較＋現場の声</t>
  </si>
  <si>
    <t xml:space="preserve">3.2</t>
  </si>
  <si>
    <r>
      <rPr>
        <sz val="10"/>
        <rFont val="Noto Sans CJK SC"/>
        <family val="2"/>
      </rPr>
      <t xml:space="preserve">    次期計画</t>
    </r>
    <r>
      <rPr>
        <sz val="10"/>
        <rFont val="Yu Gothic"/>
        <family val="0"/>
        <charset val="1"/>
      </rPr>
      <t xml:space="preserve">/</t>
    </r>
    <r>
      <rPr>
        <sz val="10"/>
        <rFont val="Noto Sans CJK SC"/>
        <family val="2"/>
      </rPr>
      <t xml:space="preserve">見直し案 提示</t>
    </r>
  </si>
  <si>
    <r>
      <rPr>
        <sz val="9"/>
        <color rgb="FF6B7280"/>
        <rFont val="Yu Gothic"/>
        <family val="0"/>
        <charset val="1"/>
      </rPr>
      <t xml:space="preserve">🟡3</t>
    </r>
    <r>
      <rPr>
        <sz val="9"/>
        <color rgb="FF6B7280"/>
        <rFont val="Noto Sans CJK SC"/>
        <family val="2"/>
      </rPr>
      <t xml:space="preserve">軸評価</t>
    </r>
    <r>
      <rPr>
        <sz val="9"/>
        <color rgb="FF6B7280"/>
        <rFont val="Yu Gothic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事業価値</t>
    </r>
    <r>
      <rPr>
        <sz val="9"/>
        <color rgb="FF6B7280"/>
        <rFont val="Yu Gothic"/>
        <family val="0"/>
        <charset val="1"/>
      </rPr>
      <t xml:space="preserve">/</t>
    </r>
    <r>
      <rPr>
        <sz val="9"/>
        <color rgb="FF6B7280"/>
        <rFont val="Noto Sans CJK SC"/>
        <family val="2"/>
      </rPr>
      <t xml:space="preserve">運用適合</t>
    </r>
    <r>
      <rPr>
        <sz val="9"/>
        <color rgb="FF6B7280"/>
        <rFont val="Yu Gothic"/>
        <family val="0"/>
        <charset val="1"/>
      </rPr>
      <t xml:space="preserve">/</t>
    </r>
    <r>
      <rPr>
        <sz val="9"/>
        <color rgb="FF6B7280"/>
        <rFont val="Noto Sans CJK SC"/>
        <family val="2"/>
      </rPr>
      <t xml:space="preserve">リスク</t>
    </r>
    <r>
      <rPr>
        <sz val="9"/>
        <color rgb="FF6B7280"/>
        <rFont val="Yu Gothic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</si>
  <si>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総工数</t>
    </r>
    <r>
      <rPr>
        <b val="true"/>
        <sz val="10"/>
        <rFont val="Yu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人日</t>
    </r>
    <r>
      <rPr>
        <b val="true"/>
        <sz val="10"/>
        <rFont val="Yu Gothic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</si>
</sst>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Yu Gothic"/>
      <family val="0"/>
      <charset val="1"/>
    </font>
    <font>
      <sz val="9"/>
      <color rgb="FF6B7280"/>
      <name val="Yu Gothic"/>
      <family val="0"/>
      <charset val="1"/>
    </font>
    <font>
      <sz val="9"/>
      <color rgb="FF6B7280"/>
      <name val="Noto Sans CJK SC"/>
      <family val="2"/>
    </font>
    <font>
      <b val="true"/>
      <sz val="10"/>
      <name val="Yu Gothic"/>
      <family val="0"/>
      <charset val="1"/>
    </font>
    <font>
      <b val="true"/>
      <sz val="10"/>
      <name val="Noto Sans CJK SC"/>
      <family val="2"/>
    </font>
    <font>
      <b val="true"/>
      <sz val="9"/>
      <name val="Yu Gothic"/>
      <family val="0"/>
      <charset val="1"/>
    </font>
    <font>
      <sz val="10"/>
      <name val="Yu Gothic"/>
      <family val="0"/>
      <charset val="1"/>
    </font>
    <font>
      <sz val="10"/>
      <name val="Noto Sans CJK SC"/>
      <family val="2"/>
    </font>
    <font>
      <b val="true"/>
      <sz val="11"/>
      <name val="Yu Gothi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F2FF"/>
        <bgColor rgb="FFF1F5F9"/>
      </patternFill>
    </fill>
    <fill>
      <patternFill patternType="solid">
        <fgColor rgb="FFFEE2E2"/>
        <bgColor rgb="FFEEF2FF"/>
      </patternFill>
    </fill>
    <fill>
      <patternFill patternType="solid">
        <fgColor rgb="FFF1F5F9"/>
        <bgColor rgb="FFEEF2FF"/>
      </patternFill>
    </fill>
    <fill>
      <patternFill patternType="solid">
        <fgColor rgb="FFFCA5A5"/>
        <bgColor rgb="FFFFCC99"/>
      </patternFill>
    </fill>
    <fill>
      <patternFill patternType="solid">
        <fgColor rgb="FF3B82F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5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EEF2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CA5A5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L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6" min="4" style="0" width="7"/>
    <col collapsed="false" customWidth="true" hidden="false" outlineLevel="0" max="10" min="7" style="0" width="11"/>
    <col collapsed="false" customWidth="true" hidden="false" outlineLevel="0" max="11" min="11" style="0" width="30"/>
    <col collapsed="false" customWidth="true" hidden="false" outlineLevel="0" max="21" min="12" style="0" width="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7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5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</row>
    <row r="4" customFormat="false" ht="15" hidden="false" customHeight="false" outlineLevel="0" collapsed="false">
      <c r="A4" s="7" t="s">
        <v>23</v>
      </c>
      <c r="B4" s="8" t="s">
        <v>24</v>
      </c>
      <c r="C4" s="8"/>
      <c r="D4" s="9"/>
      <c r="E4" s="9"/>
      <c r="F4" s="10" t="n">
        <f aca="false">SUM(F5:F8)</f>
        <v>9</v>
      </c>
      <c r="G4" s="11" t="n">
        <f aca="false">MIN(G5:G8)</f>
        <v>46209</v>
      </c>
      <c r="H4" s="11" t="n">
        <f aca="false">MAX(H5:H8)</f>
        <v>46241</v>
      </c>
      <c r="I4" s="8"/>
      <c r="J4" s="8"/>
      <c r="K4" s="12" t="s">
        <v>25</v>
      </c>
      <c r="L4" s="13"/>
      <c r="M4" s="13"/>
      <c r="N4" s="13"/>
      <c r="O4" s="13"/>
      <c r="P4" s="13"/>
      <c r="Q4" s="13"/>
      <c r="R4" s="13"/>
      <c r="S4" s="13"/>
      <c r="T4" s="14"/>
      <c r="U4" s="13"/>
    </row>
    <row r="5" customFormat="false" ht="15" hidden="false" customHeight="false" outlineLevel="0" collapsed="false">
      <c r="A5" s="15" t="s">
        <v>26</v>
      </c>
      <c r="B5" s="16" t="s">
        <v>27</v>
      </c>
      <c r="C5" s="16" t="s">
        <v>28</v>
      </c>
      <c r="D5" s="17" t="n">
        <v>1</v>
      </c>
      <c r="E5" s="17" t="n">
        <v>24</v>
      </c>
      <c r="F5" s="18" t="n">
        <f aca="false">D5*E5/8</f>
        <v>3</v>
      </c>
      <c r="G5" s="19" t="n">
        <v>46209</v>
      </c>
      <c r="H5" s="19" t="n">
        <v>46220</v>
      </c>
      <c r="I5" s="16"/>
      <c r="J5" s="16"/>
      <c r="K5" s="20" t="s">
        <v>29</v>
      </c>
      <c r="L5" s="13"/>
      <c r="M5" s="13"/>
      <c r="N5" s="13"/>
      <c r="O5" s="21"/>
      <c r="P5" s="21"/>
      <c r="Q5" s="13"/>
      <c r="R5" s="13"/>
      <c r="S5" s="13"/>
      <c r="T5" s="14"/>
      <c r="U5" s="13"/>
    </row>
    <row r="6" customFormat="false" ht="15" hidden="false" customHeight="false" outlineLevel="0" collapsed="false">
      <c r="A6" s="15" t="s">
        <v>30</v>
      </c>
      <c r="B6" s="16" t="s">
        <v>31</v>
      </c>
      <c r="C6" s="16" t="s">
        <v>32</v>
      </c>
      <c r="D6" s="17" t="n">
        <v>1</v>
      </c>
      <c r="E6" s="17" t="n">
        <v>24</v>
      </c>
      <c r="F6" s="18" t="n">
        <f aca="false">D6*E6/8</f>
        <v>3</v>
      </c>
      <c r="G6" s="19" t="n">
        <v>46216</v>
      </c>
      <c r="H6" s="19" t="n">
        <v>46230</v>
      </c>
      <c r="I6" s="16"/>
      <c r="J6" s="16"/>
      <c r="K6" s="20" t="s">
        <v>29</v>
      </c>
      <c r="L6" s="13"/>
      <c r="M6" s="13"/>
      <c r="N6" s="13"/>
      <c r="O6" s="13"/>
      <c r="P6" s="21"/>
      <c r="Q6" s="21"/>
      <c r="R6" s="21"/>
      <c r="S6" s="13"/>
      <c r="T6" s="14"/>
      <c r="U6" s="13"/>
    </row>
    <row r="7" customFormat="false" ht="15" hidden="false" customHeight="false" outlineLevel="0" collapsed="false">
      <c r="A7" s="15" t="s">
        <v>33</v>
      </c>
      <c r="B7" s="16" t="s">
        <v>34</v>
      </c>
      <c r="C7" s="16" t="s">
        <v>35</v>
      </c>
      <c r="D7" s="17" t="n">
        <v>1</v>
      </c>
      <c r="E7" s="17" t="n">
        <v>16</v>
      </c>
      <c r="F7" s="18" t="n">
        <f aca="false">D7*E7/8</f>
        <v>2</v>
      </c>
      <c r="G7" s="19" t="n">
        <v>46216</v>
      </c>
      <c r="H7" s="19" t="n">
        <v>46227</v>
      </c>
      <c r="I7" s="16"/>
      <c r="J7" s="16"/>
      <c r="K7" s="22" t="s">
        <v>36</v>
      </c>
      <c r="L7" s="13"/>
      <c r="M7" s="13"/>
      <c r="N7" s="13"/>
      <c r="O7" s="13"/>
      <c r="P7" s="21"/>
      <c r="Q7" s="21"/>
      <c r="R7" s="13"/>
      <c r="S7" s="13"/>
      <c r="T7" s="14"/>
      <c r="U7" s="13"/>
    </row>
    <row r="8" customFormat="false" ht="15" hidden="false" customHeight="false" outlineLevel="0" collapsed="false">
      <c r="A8" s="15" t="s">
        <v>37</v>
      </c>
      <c r="B8" s="16" t="s">
        <v>38</v>
      </c>
      <c r="C8" s="16" t="s">
        <v>39</v>
      </c>
      <c r="D8" s="17" t="n">
        <v>1</v>
      </c>
      <c r="E8" s="17" t="n">
        <v>8</v>
      </c>
      <c r="F8" s="18" t="n">
        <f aca="false">D8*E8/8</f>
        <v>1</v>
      </c>
      <c r="G8" s="19" t="n">
        <v>46231</v>
      </c>
      <c r="H8" s="19" t="n">
        <v>46241</v>
      </c>
      <c r="I8" s="16"/>
      <c r="J8" s="16"/>
      <c r="K8" s="20" t="s">
        <v>40</v>
      </c>
      <c r="L8" s="13"/>
      <c r="M8" s="13"/>
      <c r="N8" s="13"/>
      <c r="O8" s="13"/>
      <c r="P8" s="13"/>
      <c r="Q8" s="13"/>
      <c r="R8" s="21"/>
      <c r="S8" s="21"/>
      <c r="T8" s="14"/>
      <c r="U8" s="13"/>
    </row>
    <row r="9" customFormat="false" ht="15" hidden="false" customHeight="false" outlineLevel="0" collapsed="false">
      <c r="A9" s="7" t="s">
        <v>41</v>
      </c>
      <c r="B9" s="8" t="s">
        <v>42</v>
      </c>
      <c r="C9" s="8"/>
      <c r="D9" s="9"/>
      <c r="E9" s="9"/>
      <c r="F9" s="10" t="n">
        <f aca="false">SUM(F10:F11)</f>
        <v>0</v>
      </c>
      <c r="G9" s="8"/>
      <c r="H9" s="8"/>
      <c r="I9" s="8"/>
      <c r="J9" s="8"/>
      <c r="K9" s="12" t="s">
        <v>43</v>
      </c>
      <c r="L9" s="13"/>
      <c r="M9" s="13"/>
      <c r="N9" s="13"/>
      <c r="O9" s="13"/>
      <c r="P9" s="13"/>
      <c r="Q9" s="13"/>
      <c r="R9" s="13"/>
      <c r="S9" s="13"/>
      <c r="T9" s="14"/>
      <c r="U9" s="13"/>
    </row>
    <row r="10" customFormat="false" ht="15" hidden="false" customHeight="false" outlineLevel="0" collapsed="false">
      <c r="A10" s="15" t="s">
        <v>44</v>
      </c>
      <c r="B10" s="16" t="s">
        <v>45</v>
      </c>
      <c r="C10" s="16"/>
      <c r="D10" s="17" t="n">
        <v>1</v>
      </c>
      <c r="E10" s="17" t="n">
        <v>0</v>
      </c>
      <c r="F10" s="18" t="n">
        <f aca="false">D10*E10/8</f>
        <v>0</v>
      </c>
      <c r="G10" s="16"/>
      <c r="H10" s="16"/>
      <c r="I10" s="16"/>
      <c r="J10" s="16"/>
      <c r="K10" s="22" t="s">
        <v>46</v>
      </c>
      <c r="L10" s="13"/>
      <c r="M10" s="13"/>
      <c r="N10" s="13"/>
      <c r="O10" s="13"/>
      <c r="P10" s="13"/>
      <c r="Q10" s="13"/>
      <c r="R10" s="13"/>
      <c r="S10" s="13"/>
      <c r="T10" s="14"/>
      <c r="U10" s="13"/>
    </row>
    <row r="11" customFormat="false" ht="15" hidden="false" customHeight="false" outlineLevel="0" collapsed="false">
      <c r="A11" s="15" t="s">
        <v>47</v>
      </c>
      <c r="B11" s="16" t="s">
        <v>48</v>
      </c>
      <c r="C11" s="16"/>
      <c r="D11" s="17" t="n">
        <v>1</v>
      </c>
      <c r="E11" s="17" t="n">
        <v>0</v>
      </c>
      <c r="F11" s="18" t="n">
        <f aca="false">D11*E11/8</f>
        <v>0</v>
      </c>
      <c r="G11" s="16"/>
      <c r="H11" s="16"/>
      <c r="I11" s="16"/>
      <c r="J11" s="16"/>
      <c r="K11" s="22" t="s">
        <v>49</v>
      </c>
      <c r="L11" s="13"/>
      <c r="M11" s="13"/>
      <c r="N11" s="13"/>
      <c r="O11" s="13"/>
      <c r="P11" s="13"/>
      <c r="Q11" s="13"/>
      <c r="R11" s="13"/>
      <c r="S11" s="13"/>
      <c r="T11" s="14"/>
      <c r="U11" s="13"/>
    </row>
    <row r="12" customFormat="false" ht="15" hidden="false" customHeight="false" outlineLevel="0" collapsed="false">
      <c r="A12" s="7" t="s">
        <v>50</v>
      </c>
      <c r="B12" s="8" t="s">
        <v>51</v>
      </c>
      <c r="C12" s="8"/>
      <c r="D12" s="9"/>
      <c r="E12" s="9"/>
      <c r="F12" s="10" t="n">
        <f aca="false">SUM(F13:F14)</f>
        <v>0</v>
      </c>
      <c r="G12" s="8"/>
      <c r="H12" s="8"/>
      <c r="I12" s="8"/>
      <c r="J12" s="8"/>
      <c r="K12" s="23" t="s">
        <v>52</v>
      </c>
      <c r="L12" s="13"/>
      <c r="M12" s="13"/>
      <c r="N12" s="13"/>
      <c r="O12" s="13"/>
      <c r="P12" s="13"/>
      <c r="Q12" s="13"/>
      <c r="R12" s="13"/>
      <c r="S12" s="13"/>
      <c r="T12" s="14"/>
      <c r="U12" s="13"/>
    </row>
    <row r="13" customFormat="false" ht="15" hidden="false" customHeight="false" outlineLevel="0" collapsed="false">
      <c r="A13" s="15" t="s">
        <v>53</v>
      </c>
      <c r="B13" s="16" t="s">
        <v>54</v>
      </c>
      <c r="C13" s="16"/>
      <c r="D13" s="17" t="n">
        <v>1</v>
      </c>
      <c r="E13" s="17" t="n">
        <v>0</v>
      </c>
      <c r="F13" s="18" t="n">
        <f aca="false">D13*E13/8</f>
        <v>0</v>
      </c>
      <c r="G13" s="16"/>
      <c r="H13" s="16"/>
      <c r="I13" s="16"/>
      <c r="J13" s="16"/>
      <c r="K13" s="22" t="s">
        <v>55</v>
      </c>
      <c r="L13" s="13"/>
      <c r="M13" s="13"/>
      <c r="N13" s="13"/>
      <c r="O13" s="13"/>
      <c r="P13" s="13"/>
      <c r="Q13" s="13"/>
      <c r="R13" s="13"/>
      <c r="S13" s="13"/>
      <c r="T13" s="14"/>
      <c r="U13" s="13"/>
    </row>
    <row r="14" customFormat="false" ht="15" hidden="false" customHeight="false" outlineLevel="0" collapsed="false">
      <c r="A14" s="15" t="s">
        <v>56</v>
      </c>
      <c r="B14" s="16" t="s">
        <v>57</v>
      </c>
      <c r="C14" s="16"/>
      <c r="D14" s="17" t="n">
        <v>1</v>
      </c>
      <c r="E14" s="17" t="n">
        <v>0</v>
      </c>
      <c r="F14" s="18" t="n">
        <f aca="false">D14*E14/8</f>
        <v>0</v>
      </c>
      <c r="G14" s="16"/>
      <c r="H14" s="16"/>
      <c r="I14" s="16"/>
      <c r="J14" s="16"/>
      <c r="K14" s="20" t="s">
        <v>58</v>
      </c>
      <c r="L14" s="13"/>
      <c r="M14" s="13"/>
      <c r="N14" s="13"/>
      <c r="O14" s="13"/>
      <c r="P14" s="13"/>
      <c r="Q14" s="13"/>
      <c r="R14" s="13"/>
      <c r="S14" s="13"/>
      <c r="T14" s="14"/>
      <c r="U14" s="13"/>
    </row>
    <row r="16" customFormat="false" ht="15" hidden="false" customHeight="false" outlineLevel="0" collapsed="false">
      <c r="E16" s="24" t="s">
        <v>59</v>
      </c>
      <c r="F16" s="25" t="n">
        <f aca="false">SUM(F5,F6,F7,F8,F10,F11,F13,F14)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2026-06-14T15:59:25Z</dcterms:created>
  <dc:creator>openpyxl</dc:creator>
  <dc:description/>
  <dc:language>en-US</dc:language>
  <cp:lastModifiedBy/>
  <dcterms:modified xsi:type="dcterms:W3CDTF">2026-06-14T15:59:25Z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