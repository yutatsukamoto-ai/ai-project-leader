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月次売上サマリ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<sst xmlns="http://schemas.openxmlformats.org/spreadsheetml/2006/main" count="21" uniqueCount="21">
  <si>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月</t>
  </si>
  <si>
    <t xml:space="preserve">売上高</t>
  </si>
  <si>
    <t xml:space="preserve">原価</t>
  </si>
  <si>
    <t xml:space="preserve">粗利</t>
  </si>
  <si>
    <t xml:space="preserve">粗利率</t>
  </si>
  <si>
    <t xml:space="preserve">販管費</t>
  </si>
  <si>
    <t xml:space="preserve">営業利益</t>
  </si>
  <si>
    <t xml:space="preserve">営業利益率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</si>
  <si>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</si>
  <si>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</si>
  <si>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</si>
  <si>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</si>
  <si>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</si>
  <si>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</si>
  <si>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</si>
  <si>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</si>
  <si>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</si>
  <si>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</si>
  <si>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月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</si>
  <si>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</t>
    </r>
  </si>
  <si>
    <t xml:space="preserve">合計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</si>
</sst>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4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n">
        <v>4200</v>
      </c>
      <c r="C2" s="3" t="n">
        <v>2520</v>
      </c>
      <c r="D2" s="4" t="n">
        <f aca="false">B2-C2</f>
        <v>1680</v>
      </c>
      <c r="E2" s="5" t="n">
        <f aca="false">IF(B2=0,"-",D2/B2)</f>
        <v>0.4</v>
      </c>
      <c r="F2" s="3" t="n">
        <v>1100</v>
      </c>
      <c r="G2" s="4" t="n">
        <f aca="false">D2-F2</f>
        <v>580</v>
      </c>
      <c r="H2" s="5" t="n">
        <f aca="false">IF(B2=0,"-",G2/B2)</f>
        <v>0.138095238095238</v>
      </c>
    </row>
    <row r="3" customFormat="false" ht="15" hidden="false" customHeight="false" outlineLevel="0" collapsed="false">
      <c r="A3" s="2" t="s">
        <v>9</v>
      </c>
      <c r="B3" s="3" t="n">
        <v>4500</v>
      </c>
      <c r="C3" s="3" t="n">
        <v>2700</v>
      </c>
      <c r="D3" s="4" t="n">
        <f aca="false">B3-C3</f>
        <v>1800</v>
      </c>
      <c r="E3" s="5" t="n">
        <f aca="false">IF(B3=0,"-",D3/B3)</f>
        <v>0.4</v>
      </c>
      <c r="F3" s="3" t="n">
        <v>1100</v>
      </c>
      <c r="G3" s="4" t="n">
        <f aca="false">D3-F3</f>
        <v>700</v>
      </c>
      <c r="H3" s="5" t="n">
        <f aca="false">IF(B3=0,"-",G3/B3)</f>
        <v>0.155555555555556</v>
      </c>
    </row>
    <row r="4" customFormat="false" ht="15" hidden="false" customHeight="false" outlineLevel="0" collapsed="false">
      <c r="A4" s="2" t="s">
        <v>10</v>
      </c>
      <c r="B4" s="3" t="n">
        <v>4800</v>
      </c>
      <c r="C4" s="3" t="n">
        <v>2880</v>
      </c>
      <c r="D4" s="4" t="n">
        <f aca="false">B4-C4</f>
        <v>1920</v>
      </c>
      <c r="E4" s="5" t="n">
        <f aca="false">IF(B4=0,"-",D4/B4)</f>
        <v>0.4</v>
      </c>
      <c r="F4" s="3" t="n">
        <v>1150</v>
      </c>
      <c r="G4" s="4" t="n">
        <f aca="false">D4-F4</f>
        <v>770</v>
      </c>
      <c r="H4" s="5" t="n">
        <f aca="false">IF(B4=0,"-",G4/B4)</f>
        <v>0.160416666666667</v>
      </c>
    </row>
    <row r="5" customFormat="false" ht="15" hidden="false" customHeight="false" outlineLevel="0" collapsed="false">
      <c r="A5" s="2" t="s">
        <v>11</v>
      </c>
      <c r="B5" s="3" t="n">
        <v>4100</v>
      </c>
      <c r="C5" s="3" t="n">
        <v>2460</v>
      </c>
      <c r="D5" s="4" t="n">
        <f aca="false">B5-C5</f>
        <v>1640</v>
      </c>
      <c r="E5" s="5" t="n">
        <f aca="false">IF(B5=0,"-",D5/B5)</f>
        <v>0.4</v>
      </c>
      <c r="F5" s="3" t="n">
        <v>1050</v>
      </c>
      <c r="G5" s="4" t="n">
        <f aca="false">D5-F5</f>
        <v>590</v>
      </c>
      <c r="H5" s="5" t="n">
        <f aca="false">IF(B5=0,"-",G5/B5)</f>
        <v>0.14390243902439</v>
      </c>
    </row>
    <row r="6" customFormat="false" ht="15" hidden="false" customHeight="false" outlineLevel="0" collapsed="false">
      <c r="A6" s="2" t="s">
        <v>12</v>
      </c>
      <c r="B6" s="3" t="n">
        <v>3900</v>
      </c>
      <c r="C6" s="3" t="n">
        <v>2340</v>
      </c>
      <c r="D6" s="4" t="n">
        <f aca="false">B6-C6</f>
        <v>1560</v>
      </c>
      <c r="E6" s="5" t="n">
        <f aca="false">IF(B6=0,"-",D6/B6)</f>
        <v>0.4</v>
      </c>
      <c r="F6" s="3" t="n">
        <v>1000</v>
      </c>
      <c r="G6" s="4" t="n">
        <f aca="false">D6-F6</f>
        <v>560</v>
      </c>
      <c r="H6" s="5" t="n">
        <f aca="false">IF(B6=0,"-",G6/B6)</f>
        <v>0.143589743589744</v>
      </c>
    </row>
    <row r="7" customFormat="false" ht="15" hidden="false" customHeight="false" outlineLevel="0" collapsed="false">
      <c r="A7" s="2" t="s">
        <v>13</v>
      </c>
      <c r="B7" s="3" t="n">
        <v>5200</v>
      </c>
      <c r="C7" s="3" t="n">
        <v>3120</v>
      </c>
      <c r="D7" s="4" t="n">
        <f aca="false">B7-C7</f>
        <v>2080</v>
      </c>
      <c r="E7" s="5" t="n">
        <f aca="false">IF(B7=0,"-",D7/B7)</f>
        <v>0.4</v>
      </c>
      <c r="F7" s="3" t="n">
        <v>1200</v>
      </c>
      <c r="G7" s="4" t="n">
        <f aca="false">D7-F7</f>
        <v>880</v>
      </c>
      <c r="H7" s="5" t="n">
        <f aca="false">IF(B7=0,"-",G7/B7)</f>
        <v>0.169230769230769</v>
      </c>
    </row>
    <row r="8" customFormat="false" ht="15" hidden="false" customHeight="false" outlineLevel="0" collapsed="false">
      <c r="A8" s="2" t="s">
        <v>14</v>
      </c>
      <c r="B8" s="3" t="n">
        <v>5500</v>
      </c>
      <c r="C8" s="3" t="n">
        <v>3300</v>
      </c>
      <c r="D8" s="4" t="n">
        <f aca="false">B8-C8</f>
        <v>2200</v>
      </c>
      <c r="E8" s="5" t="n">
        <f aca="false">IF(B8=0,"-",D8/B8)</f>
        <v>0.4</v>
      </c>
      <c r="F8" s="3" t="n">
        <v>1250</v>
      </c>
      <c r="G8" s="4" t="n">
        <f aca="false">D8-F8</f>
        <v>950</v>
      </c>
      <c r="H8" s="5" t="n">
        <f aca="false">IF(B8=0,"-",G8/B8)</f>
        <v>0.172727272727273</v>
      </c>
    </row>
    <row r="9" customFormat="false" ht="15" hidden="false" customHeight="false" outlineLevel="0" collapsed="false">
      <c r="A9" s="2" t="s">
        <v>15</v>
      </c>
      <c r="B9" s="3" t="n">
        <v>5800</v>
      </c>
      <c r="C9" s="3" t="n">
        <v>3480</v>
      </c>
      <c r="D9" s="4" t="n">
        <f aca="false">B9-C9</f>
        <v>2320</v>
      </c>
      <c r="E9" s="5" t="n">
        <f aca="false">IF(B9=0,"-",D9/B9)</f>
        <v>0.4</v>
      </c>
      <c r="F9" s="3" t="n">
        <v>1300</v>
      </c>
      <c r="G9" s="4" t="n">
        <f aca="false">D9-F9</f>
        <v>1020</v>
      </c>
      <c r="H9" s="5" t="n">
        <f aca="false">IF(B9=0,"-",G9/B9)</f>
        <v>0.175862068965517</v>
      </c>
    </row>
    <row r="10" customFormat="false" ht="15" hidden="false" customHeight="false" outlineLevel="0" collapsed="false">
      <c r="A10" s="2" t="s">
        <v>16</v>
      </c>
      <c r="B10" s="3" t="n">
        <v>6200</v>
      </c>
      <c r="C10" s="3" t="n">
        <v>3720</v>
      </c>
      <c r="D10" s="4" t="n">
        <f aca="false">B10-C10</f>
        <v>2480</v>
      </c>
      <c r="E10" s="5" t="n">
        <f aca="false">IF(B10=0,"-",D10/B10)</f>
        <v>0.4</v>
      </c>
      <c r="F10" s="3" t="n">
        <v>1350</v>
      </c>
      <c r="G10" s="4" t="n">
        <f aca="false">D10-F10</f>
        <v>1130</v>
      </c>
      <c r="H10" s="5" t="n">
        <f aca="false">IF(B10=0,"-",G10/B10)</f>
        <v>0.182258064516129</v>
      </c>
    </row>
    <row r="11" customFormat="false" ht="15" hidden="false" customHeight="false" outlineLevel="0" collapsed="false">
      <c r="A11" s="2" t="s">
        <v>17</v>
      </c>
      <c r="B11" s="3" t="n">
        <v>4800</v>
      </c>
      <c r="C11" s="3" t="n">
        <v>2880</v>
      </c>
      <c r="D11" s="4" t="n">
        <f aca="false">B11-C11</f>
        <v>1920</v>
      </c>
      <c r="E11" s="5" t="n">
        <f aca="false">IF(B11=0,"-",D11/B11)</f>
        <v>0.4</v>
      </c>
      <c r="F11" s="3" t="n">
        <v>1150</v>
      </c>
      <c r="G11" s="4" t="n">
        <f aca="false">D11-F11</f>
        <v>770</v>
      </c>
      <c r="H11" s="5" t="n">
        <f aca="false">IF(B11=0,"-",G11/B11)</f>
        <v>0.160416666666667</v>
      </c>
    </row>
    <row r="12" customFormat="false" ht="15" hidden="false" customHeight="false" outlineLevel="0" collapsed="false">
      <c r="A12" s="2" t="s">
        <v>18</v>
      </c>
      <c r="B12" s="3" t="n">
        <v>5100</v>
      </c>
      <c r="C12" s="3" t="n">
        <v>3060</v>
      </c>
      <c r="D12" s="4" t="n">
        <f aca="false">B12-C12</f>
        <v>2040</v>
      </c>
      <c r="E12" s="5" t="n">
        <f aca="false">IF(B12=0,"-",D12/B12)</f>
        <v>0.4</v>
      </c>
      <c r="F12" s="3" t="n">
        <v>1200</v>
      </c>
      <c r="G12" s="4" t="n">
        <f aca="false">D12-F12</f>
        <v>840</v>
      </c>
      <c r="H12" s="5" t="n">
        <f aca="false">IF(B12=0,"-",G12/B12)</f>
        <v>0.164705882352941</v>
      </c>
    </row>
    <row r="13" customFormat="false" ht="15" hidden="false" customHeight="false" outlineLevel="0" collapsed="false">
      <c r="A13" s="2" t="s">
        <v>19</v>
      </c>
      <c r="B13" s="3" t="n">
        <v>5600</v>
      </c>
      <c r="C13" s="3" t="n">
        <v>3360</v>
      </c>
      <c r="D13" s="4" t="n">
        <f aca="false">B13-C13</f>
        <v>2240</v>
      </c>
      <c r="E13" s="5" t="n">
        <f aca="false">IF(B13=0,"-",D13/B13)</f>
        <v>0.4</v>
      </c>
      <c r="F13" s="3" t="n">
        <v>1250</v>
      </c>
      <c r="G13" s="4" t="n">
        <f aca="false">D13-F13</f>
        <v>990</v>
      </c>
      <c r="H13" s="5" t="n">
        <f aca="false">IF(B13=0,"-",G13/B13)</f>
        <v>0.176785714285714</v>
      </c>
    </row>
    <row r="14" customFormat="false" ht="15" hidden="false" customHeight="false" outlineLevel="0" collapsed="false">
      <c r="A14" s="6" t="s">
        <v>20</v>
      </c>
      <c r="B14" s="7" t="n">
        <f aca="false">SUM(B2:B13)</f>
        <v>59700</v>
      </c>
      <c r="C14" s="7" t="n">
        <f aca="false">SUM(C2:C13)</f>
        <v>35820</v>
      </c>
      <c r="D14" s="7" t="n">
        <f aca="false">SUM(D2:D13)</f>
        <v>23880</v>
      </c>
      <c r="E14" s="8" t="n">
        <f aca="false">IF(B14=0,"-",D14/B14)</f>
        <v>0.4</v>
      </c>
      <c r="F14" s="7" t="n">
        <f aca="false">SUM(F2:F13)</f>
        <v>14100</v>
      </c>
      <c r="G14" s="7" t="n">
        <f aca="false">SUM(G2:G13)</f>
        <v>9780</v>
      </c>
      <c r="H14" s="8" t="n">
        <f aca="false">IF(B14=0,"-",G14/B14)</f>
        <v>0.163819095477387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2026-06-16T17:20:18Z</dcterms:created>
  <dc:creator>openpyxl</dc:creator>
  <dc:description/>
  <dc:language>en-US</dc:language>
  <cp:lastModifiedBy/>
  <dcterms:modified xsi:type="dcterms:W3CDTF">2026-06-16T17:20:18Z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